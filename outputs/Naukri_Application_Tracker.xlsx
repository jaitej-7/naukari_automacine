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b7f686cf9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a6953c945f34b5a"/>
    <x:sheet xmlns:r="http://schemas.openxmlformats.org/officeDocument/2006/relationships" name="Job Tracker" sheetId="2" r:id="Rce9d6cabfd314383"/>
    <x:sheet xmlns:r="http://schemas.openxmlformats.org/officeDocument/2006/relationships" name="Resume Queue" sheetId="3" r:id="Rc55d8253fd9d408f"/>
    <x:sheet xmlns:r="http://schemas.openxmlformats.org/officeDocument/2006/relationships" name="Options" sheetId="4" r:id="Ra3dc035360b2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4"/>
      <x:name val="Carlito"/>
    </x:font>
    <x:font>
      <x:sz val="11"/>
      <x:color rgb="FF065F46"/>
      <x:name val="Carlito"/>
    </x:font>
    <x:font>
      <x:sz val="11"/>
      <x:color rgb="FF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ECFDF5"/>
      </x:patternFill>
    </x:fill>
    <x:fill>
      <x:patternFill patternType="solid">
        <x:fgColor rgb="FFEFF6FF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</x:dxf>
    <x:dxf>
      <x:font>
        <x:color rgb="FF92400E"/>
      </x:font>
    </x:dxf>
    <x:dxf>
      <x:font>
        <x:color rgb="FF991B1B"/>
      </x:font>
    </x:dxf>
    <x:dxf>
      <x:font>
        <x:b/>
        <x:color rgb="FF1D4ED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c8948b32244d9" /><Relationship Type="http://schemas.openxmlformats.org/officeDocument/2006/relationships/theme" Target="/xl/theme/theme1.xml" Id="Rfdcc1e817bc945a1" /><Relationship Type="http://schemas.openxmlformats.org/officeDocument/2006/relationships/sharedStrings" Target="/xl/sharedStrings.xml" Id="R524f2fd0b0db42ac" /><Relationship Type="http://schemas.openxmlformats.org/officeDocument/2006/relationships/worksheet" Target="/xl/worksheets/sheet1.xml" Id="Rda6953c945f34b5a" /><Relationship Type="http://schemas.openxmlformats.org/officeDocument/2006/relationships/worksheet" Target="/xl/worksheets/sheet2.xml" Id="Rce9d6cabfd314383" /><Relationship Type="http://schemas.openxmlformats.org/officeDocument/2006/relationships/worksheet" Target="/xl/worksheets/sheet3.xml" Id="Rc55d8253fd9d408f" /><Relationship Type="http://schemas.openxmlformats.org/officeDocument/2006/relationships/worksheet" Target="/xl/worksheets/sheet4.xml" Id="Ra3dc035360b2432e" /></Relationships>
</file>

<file path=xl/tables/table1.xml><?xml version="1.0" encoding="utf-8"?>
<x:table xmlns:x="http://schemas.openxmlformats.org/spreadsheetml/2006/main" id="1" name="ApplicationTracker" displayName="ApplicationTracker" ref="A4:S204" headerRowCount="1">
  <x:tableColumns count="19">
    <x:tableColumn id="1" name="Serial No"/>
    <x:tableColumn id="2" name="Status"/>
    <x:tableColumn id="3" name="Applied By"/>
    <x:tableColumn id="4" name="Applied Date"/>
    <x:tableColumn id="5" name="Resume Status"/>
    <x:tableColumn id="6" name="Resume File"/>
    <x:tableColumn id="7" name="Match Decision"/>
    <x:tableColumn id="8" name="Score"/>
    <x:tableColumn id="9" name="Job Title"/>
    <x:tableColumn id="10" name="Company"/>
    <x:tableColumn id="11" name="Location"/>
    <x:tableColumn id="12" name="Experience"/>
    <x:tableColumn id="13" name="Salary"/>
    <x:tableColumn id="14" name="Job URL"/>
    <x:tableColumn id="15" name="Resume Folder"/>
    <x:tableColumn id="16" name="Search Keyword"/>
    <x:tableColumn id="17" name="Captured Date"/>
    <x:tableColumn id="18" name="Last Seen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sumeQueue" displayName="ResumeQueue" ref="A4:I104" headerRowCount="1">
  <x:tableColumns count="9">
    <x:tableColumn id="1" name="Serial No"/>
    <x:tableColumn id="2" name="Company"/>
    <x:tableColumn id="3" name="Role"/>
    <x:tableColumn id="4" name="Match Level"/>
    <x:tableColumn id="5" name="JD Keywords"/>
    <x:tableColumn id="6" name="Resume Changes Needed"/>
    <x:tableColumn id="7" name="Tailored Resume Path"/>
    <x:tableColumn id="8" name="Owner"/>
    <x:tableColumn id="9" name="Don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67e0a82d594f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c6bcf6ef9545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3.75" hidden="0" customWidth="1"/>
    <x:col min="3" max="3" width="3.75" hidden="0" customWidth="1"/>
    <x:col min="4" max="4" width="26.2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</x:cols>
  <x:sheetData>
    <x:row r="1" ht="31.5" customHeight="1">
      <x:c r="A1" s="4" t="str">
        <x:v>Naukri Application Dashboard</x:v>
      </x:c>
      <x:c r="B1" s="4"/>
      <x:c r="C1" s="4"/>
      <x:c r="D1" s="4"/>
      <x:c r="E1" s="4"/>
      <x:c r="F1" s="4"/>
      <x:c r="G1" s="4"/>
      <x:c r="H1" s="4"/>
    </x:row>
    <x:row r="3" ht="24" customHeight="1">
      <x:c r="A3" s="8" t="str">
        <x:v>Metric</x:v>
      </x:c>
      <x:c r="B3" s="8" t="str">
        <x:v>Value</x:v>
      </x:c>
      <x:c r="D3" s="8" t="str">
        <x:v>Workflow</x:v>
      </x:c>
      <x:c r="E3" s="8"/>
      <x:c r="F3" s="8"/>
      <x:c r="G3" s="8"/>
      <x:c r="H3" s="8"/>
    </x:row>
    <x:row r="4">
      <x:c r="A4" s="9" t="str">
        <x:v>Total Jobs</x:v>
      </x:c>
      <x:c r="B4" s="10" t="n">
        <x:f>COUNTA('Job Tracker'!A5:A204)</x:f>
        <x:v>0</x:v>
      </x:c>
      <x:c r="D4" s="12" t="str">
        <x:v>1. Automation finds relevant jobs and gives each job a serial number.</x:v>
      </x:c>
      <x:c r="E4" s="12"/>
      <x:c r="F4" s="12"/>
      <x:c r="G4" s="12"/>
      <x:c r="H4" s="12"/>
    </x:row>
    <x:row r="5">
      <x:c r="A5" s="9" t="str">
        <x:v>Not Applied</x:v>
      </x:c>
      <x:c r="B5" s="10" t="n">
        <x:f>COUNTIF('Job Tracker'!B5:B204,"Not Applied")</x:f>
        <x:v>0</x:v>
      </x:c>
      <x:c r="D5" s="12" t="str">
        <x:v>2. You review status in Job Tracker: Not Applied, Shortlisted, Applied, etc.</x:v>
      </x:c>
      <x:c r="E5" s="12"/>
      <x:c r="F5" s="12"/>
      <x:c r="G5" s="12"/>
      <x:c r="H5" s="12"/>
    </x:row>
    <x:row r="6">
      <x:c r="A6" s="9" t="str">
        <x:v>Resume Tailored</x:v>
      </x:c>
      <x:c r="B6" s="10" t="n">
        <x:f>COUNTIF('Job Tracker'!B5:B204,"Resume Tailored")</x:f>
        <x:v>0</x:v>
      </x:c>
      <x:c r="D6" s="12" t="str">
        <x:v>3. Drop your base resume in the resume folder.</x:v>
      </x:c>
      <x:c r="E6" s="12"/>
      <x:c r="F6" s="12"/>
      <x:c r="G6" s="12"/>
      <x:c r="H6" s="12"/>
    </x:row>
    <x:row r="7">
      <x:c r="A7" s="9" t="str">
        <x:v>Applied</x:v>
      </x:c>
      <x:c r="B7" s="10" t="n">
        <x:f>COUNTIF('Job Tracker'!B5:B204,"Applied")</x:f>
        <x:v>0</x:v>
      </x:c>
      <x:c r="D7" s="12" t="str">
        <x:v>4. For strong matches, tailored resumes go into job-resumes/JOB-0001 folders.</x:v>
      </x:c>
      <x:c r="E7" s="12"/>
      <x:c r="F7" s="12"/>
      <x:c r="G7" s="12"/>
      <x:c r="H7" s="12"/>
    </x:row>
    <x:row r="8">
      <x:c r="A8" s="9" t="str">
        <x:v>Interview</x:v>
      </x:c>
      <x:c r="B8" s="10" t="n">
        <x:f>COUNTIF('Job Tracker'!B5:B204,"Interview")</x:f>
        <x:v>0</x:v>
      </x:c>
      <x:c r="D8" s="12" t="str">
        <x:v>5. If you apply manually, mark status as Applied.</x:v>
      </x:c>
      <x:c r="E8" s="12"/>
      <x:c r="F8" s="12"/>
      <x:c r="G8" s="12"/>
      <x:c r="H8" s="12"/>
    </x:row>
    <x:row r="9">
      <x:c r="D9" s="12" t="str">
        <x:v>6. If automation applies later after approval, it will mark Applied automatically.</x:v>
      </x:c>
      <x:c r="E9" s="12"/>
      <x:c r="F9" s="12"/>
      <x:c r="G9" s="12"/>
      <x:c r="H9" s="12"/>
    </x:row>
    <x:row r="10">
      <x:c r="D10" s="12" t="str"/>
      <x:c r="E10" s="12"/>
      <x:c r="F10" s="12"/>
      <x:c r="G10" s="12"/>
      <x:c r="H10" s="12"/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6.25" hidden="0" customWidth="1"/>
    <x:col min="3" max="3" width="13.75" hidden="0" customWidth="1"/>
    <x:col min="4" max="4" width="14.380000114440918" hidden="0" customWidth="1"/>
    <x:col min="5" max="5" width="17.5" hidden="0" customWidth="1"/>
    <x:col min="6" max="6" width="23.75" hidden="0" customWidth="1"/>
    <x:col min="7" max="7" width="16.25" hidden="0" customWidth="1"/>
    <x:col min="8" max="8" width="8.75" hidden="0" customWidth="1"/>
    <x:col min="9" max="9" width="30" hidden="0" customWidth="1"/>
    <x:col min="10" max="10" width="21.25" hidden="0" customWidth="1"/>
    <x:col min="11" max="11" width="17.5" hidden="0" customWidth="1"/>
    <x:col min="12" max="12" width="13.75" hidden="0" customWidth="1"/>
    <x:col min="13" max="13" width="15" hidden="0" customWidth="1"/>
    <x:col min="14" max="14" width="32.5" hidden="0" customWidth="1"/>
    <x:col min="15" max="15" width="32.5" hidden="0" customWidth="1"/>
    <x:col min="16" max="16" width="17.5" hidden="0" customWidth="1"/>
    <x:col min="17" max="17" width="16.8799991607666" hidden="0" customWidth="1"/>
    <x:col min="18" max="18" width="16.8799991607666" hidden="0" customWidth="1"/>
    <x:col min="19" max="19" width="30" hidden="0" customWidth="1"/>
  </x:cols>
  <x:sheetData>
    <x:row r="1" ht="31.5" customHeight="1">
      <x:c r="A1" s="4" t="str">
        <x:v>Job Application Tracker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3">
      <x:c r="A3" s="15" t="str">
        <x:v>Use this sheet for daily tracking. Automation updates CSV/JSON reports; this workbook is your working tracker template.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</x:row>
    <x:row r="4" ht="24" customHeight="1">
      <x:c r="A4" s="8" t="str">
        <x:v>Serial No</x:v>
      </x:c>
      <x:c r="B4" s="8" t="str">
        <x:v>Status</x:v>
      </x:c>
      <x:c r="C4" s="8" t="str">
        <x:v>Applied By</x:v>
      </x:c>
      <x:c r="D4" s="8" t="str">
        <x:v>Applied Date</x:v>
      </x:c>
      <x:c r="E4" s="8" t="str">
        <x:v>Resume Status</x:v>
      </x:c>
      <x:c r="F4" s="8" t="str">
        <x:v>Resume File</x:v>
      </x:c>
      <x:c r="G4" s="8" t="str">
        <x:v>Match Decision</x:v>
      </x:c>
      <x:c r="H4" s="8" t="str">
        <x:v>Score</x:v>
      </x:c>
      <x:c r="I4" s="8" t="str">
        <x:v>Job Title</x:v>
      </x:c>
      <x:c r="J4" s="8" t="str">
        <x:v>Company</x:v>
      </x:c>
      <x:c r="K4" s="8" t="str">
        <x:v>Location</x:v>
      </x:c>
      <x:c r="L4" s="8" t="str">
        <x:v>Experience</x:v>
      </x:c>
      <x:c r="M4" s="8" t="str">
        <x:v>Salary</x:v>
      </x:c>
      <x:c r="N4" s="8" t="str">
        <x:v>Job URL</x:v>
      </x:c>
      <x:c r="O4" s="8" t="str">
        <x:v>Resume Folder</x:v>
      </x:c>
      <x:c r="P4" s="8" t="str">
        <x:v>Search Keyword</x:v>
      </x:c>
      <x:c r="Q4" s="8" t="str">
        <x:v>Captured Date</x:v>
      </x:c>
      <x:c r="R4" s="8" t="str">
        <x:v>Last Seen</x:v>
      </x:c>
      <x:c r="S4" s="8" t="str">
        <x:v>Notes</x:v>
      </x:c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</x:row>
  </x:sheetData>
  <x:mergeCells>
    <x:mergeCell ref="A1:S1"/>
    <x:mergeCell ref="A3:S3"/>
  </x:mergeCells>
  <x:conditionalFormatting sqref="B5:B204">
    <x:cfRule type="containsText" dxfId="0" priority="1" operator="containsText" text="Applied"/>
    <x:cfRule type="containsText" dxfId="1" priority="2" operator="containsText" text="Not Applied"/>
    <x:cfRule type="containsText" dxfId="2" priority="3" operator="containsText" text="Rejected"/>
  </x:conditionalFormatting>
  <x:conditionalFormatting sqref="H5:H204">
    <x:cfRule type="cellIs" dxfId="3" priority="4" operator="greaterThanOrEqual">
      <x:formula>4</x:formula>
    </x:cfRule>
  </x:conditionalFormatting>
  <x:dataValidations count="2">
    <x:dataValidation type="list" sqref="B5:B204">
      <x:formula1>"Not Applied,Shortlisted,Resume Tailored,Applied,Rejected,Interview,Offer,Not Relevant"</x:formula1>
    </x:dataValidation>
    <x:dataValidation type="list" sqref="E5:E204">
      <x:formula1>"Needs Resume,Tailoring Needed,Tailored,Uploaded,Not 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67e0a82d594f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1.25" hidden="0" customWidth="1"/>
    <x:col min="3" max="3" width="28.75" hidden="0" customWidth="1"/>
    <x:col min="4" max="4" width="15" hidden="0" customWidth="1"/>
    <x:col min="5" max="5" width="32.5" hidden="0" customWidth="1"/>
    <x:col min="6" max="6" width="35" hidden="0" customWidth="1"/>
    <x:col min="7" max="7" width="37.5" hidden="0" customWidth="1"/>
    <x:col min="8" max="8" width="15" hidden="0" customWidth="1"/>
    <x:col min="9" max="9" width="10" hidden="0" customWidth="1"/>
  </x:cols>
  <x:sheetData>
    <x:row r="1" ht="31.5" customHeight="1">
      <x:c r="A1" s="4" t="str">
        <x:v>Resume Tailoring Queue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8" t="str">
        <x:v>When you drop your base resume, use this sheet to decide which roles need a tailored version. Tailored files should be saved inside job-resumes using the job serial number.</x:v>
      </x:c>
      <x:c r="B3" s="18"/>
      <x:c r="C3" s="18"/>
      <x:c r="D3" s="18"/>
      <x:c r="E3" s="18"/>
      <x:c r="F3" s="18"/>
      <x:c r="G3" s="18"/>
      <x:c r="H3" s="18"/>
      <x:c r="I3" s="18"/>
    </x:row>
    <x:row r="4" ht="24" customHeight="1">
      <x:c r="A4" s="8" t="str">
        <x:v>Serial No</x:v>
      </x:c>
      <x:c r="B4" s="8" t="str">
        <x:v>Company</x:v>
      </x:c>
      <x:c r="C4" s="8" t="str">
        <x:v>Role</x:v>
      </x:c>
      <x:c r="D4" s="8" t="str">
        <x:v>Match Level</x:v>
      </x:c>
      <x:c r="E4" s="8" t="str">
        <x:v>JD Keywords</x:v>
      </x:c>
      <x:c r="F4" s="8" t="str">
        <x:v>Resume Changes Needed</x:v>
      </x:c>
      <x:c r="G4" s="8" t="str">
        <x:v>Tailored Resume Path</x:v>
      </x:c>
      <x:c r="H4" s="8" t="str">
        <x:v>Owner</x:v>
      </x:c>
      <x:c r="I4" s="8" t="str">
        <x:v>Done</x:v>
      </x:c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</x:row>
  </x:sheetData>
  <x:mergeCells>
    <x:mergeCell ref="A1:I1"/>
    <x:mergeCell ref="A3:I3"/>
  </x:mergeCells>
  <x:dataValidations count="1">
    <x:dataValidation type="list" sqref="I5:I104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c6bcf6ef9545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5" hidden="0" customWidth="1"/>
    <x:col min="3" max="3" width="22.5" hidden="0" customWidth="1"/>
    <x:col min="4" max="4" width="5" hidden="0" customWidth="1"/>
  </x:cols>
  <x:sheetData>
    <x:row r="1" ht="31.5" customHeight="1">
      <x:c r="A1" s="4" t="str">
        <x:v>Tracker Options</x:v>
      </x:c>
      <x:c r="B1" s="4"/>
      <x:c r="C1" s="4"/>
      <x:c r="D1" s="4"/>
    </x:row>
    <x:row r="2" ht="24" customHeight="1">
      <x:c r="A2" s="8" t="str">
        <x:v>Application Status</x:v>
      </x:c>
      <x:c r="C2" s="8" t="str">
        <x:v>Resume Status</x:v>
      </x:c>
    </x:row>
    <x:row r="3">
      <x:c r="A3" t="str">
        <x:v>Not Applied</x:v>
      </x:c>
      <x:c r="C3" t="str">
        <x:v>Needs Resume</x:v>
      </x:c>
    </x:row>
    <x:row r="4">
      <x:c r="A4" t="str">
        <x:v>Shortlisted</x:v>
      </x:c>
      <x:c r="C4" t="str">
        <x:v>Tailoring Needed</x:v>
      </x:c>
    </x:row>
    <x:row r="5">
      <x:c r="A5" t="str">
        <x:v>Resume Tailored</x:v>
      </x:c>
      <x:c r="C5" t="str">
        <x:v>Tailored</x:v>
      </x:c>
    </x:row>
    <x:row r="6">
      <x:c r="A6" t="str">
        <x:v>Applied</x:v>
      </x:c>
      <x:c r="C6" t="str">
        <x:v>Uploaded</x:v>
      </x:c>
    </x:row>
    <x:row r="7">
      <x:c r="A7" t="str">
        <x:v>Rejected</x:v>
      </x:c>
      <x:c r="C7" t="str">
        <x:v>Not Needed</x:v>
      </x:c>
    </x:row>
    <x:row r="8">
      <x:c r="A8" t="str">
        <x:v>Interview</x:v>
      </x:c>
    </x:row>
    <x:row r="9">
      <x:c r="A9" t="str">
        <x:v>Offer</x:v>
      </x:c>
    </x:row>
    <x:row r="10">
      <x:c r="A10" t="str">
        <x:v>Not Relevant</x:v>
      </x:c>
    </x:row>
  </x:sheetData>
  <x:mergeCells>
    <x:mergeCell ref="A1:D1"/>
  </x:mergeCells>
  <x:pageMargins left="0.7" right="0.7" top="0.75" bottom="0.75" header="0.3" footer="0.3"/>
</x:worksheet>
</file>